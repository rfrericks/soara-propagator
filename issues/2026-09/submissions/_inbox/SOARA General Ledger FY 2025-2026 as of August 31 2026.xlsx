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86768cb4020af/Documents/SOARA/"/>
    </mc:Choice>
  </mc:AlternateContent>
  <xr:revisionPtr revIDLastSave="31" documentId="8_{6B34F799-DF2C-4FB2-B2DF-18AA35E3F5E8}" xr6:coauthVersionLast="47" xr6:coauthVersionMax="47" xr10:uidLastSave="{87895903-A038-447D-9189-456CABF4C4AF}"/>
  <bookViews>
    <workbookView xWindow="-98" yWindow="-98" windowWidth="21795" windowHeight="12975" xr2:uid="{71C876AC-FC1C-4963-8552-59FE6C9989C3}"/>
  </bookViews>
  <sheets>
    <sheet name="Sheet1" sheetId="1" r:id="rId1"/>
  </sheets>
  <definedNames>
    <definedName name="_xlnm.Print_Area" localSheetId="0">Sheet1!$A$1:$U$56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L51" i="1"/>
  <c r="O53" i="1"/>
  <c r="L50" i="1"/>
  <c r="I54" i="1"/>
  <c r="I52" i="1"/>
  <c r="O45" i="1"/>
  <c r="O44" i="1"/>
  <c r="O43" i="1"/>
  <c r="O42" i="1"/>
  <c r="O41" i="1"/>
  <c r="O38" i="1"/>
  <c r="O37" i="1"/>
  <c r="O36" i="1"/>
  <c r="O35" i="1"/>
  <c r="O34" i="1"/>
  <c r="O33" i="1"/>
  <c r="O32" i="1"/>
  <c r="O31" i="1"/>
  <c r="O29" i="1"/>
  <c r="O28" i="1"/>
  <c r="O27" i="1"/>
  <c r="O26" i="1"/>
  <c r="O25" i="1"/>
  <c r="O24" i="1"/>
  <c r="O23" i="1"/>
  <c r="O22" i="1"/>
  <c r="O21" i="1"/>
  <c r="O15" i="1"/>
  <c r="O14" i="1"/>
  <c r="O13" i="1"/>
  <c r="O12" i="1"/>
  <c r="O11" i="1"/>
  <c r="O10" i="1"/>
  <c r="O8" i="1"/>
  <c r="O7" i="1"/>
  <c r="O6" i="1"/>
  <c r="H54" i="1"/>
  <c r="H52" i="1"/>
  <c r="H43" i="1"/>
  <c r="H6" i="1"/>
  <c r="G54" i="1"/>
  <c r="G52" i="1"/>
  <c r="F37" i="1"/>
  <c r="O20" i="1"/>
  <c r="F54" i="1"/>
  <c r="F52" i="1"/>
  <c r="F6" i="1"/>
  <c r="E15" i="1"/>
  <c r="E37" i="1"/>
  <c r="E6" i="1"/>
  <c r="D15" i="1"/>
  <c r="T12" i="1"/>
  <c r="B53" i="1"/>
  <c r="B54" i="1" s="1"/>
  <c r="O52" i="1" s="1"/>
  <c r="P56" i="1"/>
  <c r="P9" i="1"/>
  <c r="J52" i="1" l="1"/>
  <c r="J54" i="1" s="1"/>
  <c r="O39" i="1"/>
  <c r="S16" i="1" s="1"/>
  <c r="O46" i="1"/>
  <c r="S17" i="1" s="1"/>
  <c r="O16" i="1"/>
  <c r="O30" i="1"/>
  <c r="S15" i="1" s="1"/>
  <c r="C6" i="1"/>
  <c r="O9" i="1" s="1"/>
  <c r="S10" i="1" s="1"/>
  <c r="K52" i="1" l="1"/>
  <c r="K54" i="1" s="1"/>
  <c r="O47" i="1"/>
  <c r="O17" i="1"/>
  <c r="N9" i="1"/>
  <c r="F9" i="1"/>
  <c r="P39" i="1"/>
  <c r="P46" i="1"/>
  <c r="P30" i="1"/>
  <c r="P16" i="1"/>
  <c r="P17" i="1" s="1"/>
  <c r="O48" i="1" l="1"/>
  <c r="P47" i="1"/>
  <c r="P48" i="1" s="1"/>
  <c r="E39" i="1"/>
  <c r="E30" i="1"/>
  <c r="B13" i="1"/>
  <c r="D16" i="1"/>
  <c r="D9" i="1"/>
  <c r="D30" i="1"/>
  <c r="C30" i="1"/>
  <c r="T18" i="1"/>
  <c r="N30" i="1"/>
  <c r="L39" i="1"/>
  <c r="K30" i="1"/>
  <c r="K9" i="1"/>
  <c r="I30" i="1"/>
  <c r="B32" i="1"/>
  <c r="H9" i="1"/>
  <c r="H30" i="1"/>
  <c r="G9" i="1"/>
  <c r="G46" i="1"/>
  <c r="F46" i="1"/>
  <c r="F39" i="1"/>
  <c r="F30" i="1"/>
  <c r="E9" i="1"/>
  <c r="N46" i="1"/>
  <c r="M46" i="1"/>
  <c r="L46" i="1"/>
  <c r="K46" i="1"/>
  <c r="J46" i="1"/>
  <c r="I46" i="1"/>
  <c r="E46" i="1"/>
  <c r="D46" i="1"/>
  <c r="C46" i="1"/>
  <c r="B40" i="1"/>
  <c r="B31" i="1"/>
  <c r="B28" i="1"/>
  <c r="B20" i="1"/>
  <c r="B19" i="1"/>
  <c r="N39" i="1"/>
  <c r="M39" i="1"/>
  <c r="K39" i="1"/>
  <c r="J39" i="1"/>
  <c r="I39" i="1"/>
  <c r="H39" i="1"/>
  <c r="G39" i="1"/>
  <c r="D39" i="1"/>
  <c r="M30" i="1"/>
  <c r="J30" i="1"/>
  <c r="N16" i="1"/>
  <c r="M16" i="1"/>
  <c r="L16" i="1"/>
  <c r="K16" i="1"/>
  <c r="J16" i="1"/>
  <c r="I16" i="1"/>
  <c r="H16" i="1"/>
  <c r="G16" i="1"/>
  <c r="F16" i="1"/>
  <c r="E16" i="1"/>
  <c r="C16" i="1"/>
  <c r="M9" i="1"/>
  <c r="L9" i="1"/>
  <c r="J9" i="1"/>
  <c r="I9" i="1"/>
  <c r="M52" i="1" l="1"/>
  <c r="B9" i="1"/>
  <c r="B16" i="1"/>
  <c r="C39" i="1"/>
  <c r="C9" i="1"/>
  <c r="D17" i="1"/>
  <c r="H46" i="1"/>
  <c r="H47" i="1" s="1"/>
  <c r="N47" i="1"/>
  <c r="L30" i="1"/>
  <c r="L47" i="1" s="1"/>
  <c r="K17" i="1"/>
  <c r="J47" i="1"/>
  <c r="T21" i="1"/>
  <c r="K47" i="1"/>
  <c r="M47" i="1"/>
  <c r="D47" i="1"/>
  <c r="E47" i="1"/>
  <c r="I17" i="1"/>
  <c r="M17" i="1"/>
  <c r="B46" i="1"/>
  <c r="L17" i="1"/>
  <c r="J17" i="1"/>
  <c r="I47" i="1"/>
  <c r="H17" i="1"/>
  <c r="G30" i="1"/>
  <c r="G47" i="1" s="1"/>
  <c r="G17" i="1"/>
  <c r="F47" i="1"/>
  <c r="F17" i="1"/>
  <c r="N17" i="1"/>
  <c r="E17" i="1"/>
  <c r="N52" i="1" l="1"/>
  <c r="N54" i="1" s="1"/>
  <c r="C47" i="1"/>
  <c r="S18" i="1"/>
  <c r="C17" i="1"/>
  <c r="C48" i="1" s="1"/>
  <c r="B39" i="1"/>
  <c r="B30" i="1"/>
  <c r="D48" i="1"/>
  <c r="N48" i="1"/>
  <c r="L48" i="1"/>
  <c r="K48" i="1"/>
  <c r="J48" i="1"/>
  <c r="M48" i="1"/>
  <c r="E48" i="1"/>
  <c r="H48" i="1"/>
  <c r="I48" i="1"/>
  <c r="G48" i="1"/>
  <c r="F48" i="1"/>
  <c r="B17" i="1"/>
  <c r="U10" i="1"/>
  <c r="U15" i="1" l="1"/>
  <c r="U16" i="1"/>
  <c r="U17" i="1"/>
  <c r="B47" i="1"/>
  <c r="U18" i="1" l="1"/>
  <c r="B48" i="1"/>
  <c r="B51" i="1" s="1"/>
  <c r="C49" i="1" l="1"/>
  <c r="C51" i="1" s="1"/>
  <c r="O49" i="1"/>
  <c r="O51" i="1" s="1"/>
  <c r="D49" i="1" l="1"/>
  <c r="D51" i="1" s="1"/>
  <c r="E49" i="1" l="1"/>
  <c r="E51" i="1" s="1"/>
  <c r="F49" i="1" l="1"/>
  <c r="F51" i="1" s="1"/>
  <c r="F56" i="1" s="1"/>
  <c r="G49" i="1" l="1"/>
  <c r="G51" i="1" s="1"/>
  <c r="G56" i="1" s="1"/>
  <c r="H49" i="1" l="1"/>
  <c r="H51" i="1" s="1"/>
  <c r="H56" i="1" s="1"/>
  <c r="I49" i="1" l="1"/>
  <c r="I51" i="1" s="1"/>
  <c r="I56" i="1" s="1"/>
  <c r="J49" i="1"/>
  <c r="J51" i="1" l="1"/>
  <c r="J56" i="1" s="1"/>
  <c r="K49" i="1" l="1"/>
  <c r="K51" i="1" s="1"/>
  <c r="L49" i="1" l="1"/>
  <c r="K56" i="1"/>
  <c r="L56" i="1" l="1"/>
  <c r="M49" i="1"/>
  <c r="M51" i="1" s="1"/>
  <c r="M56" i="1" s="1"/>
  <c r="B56" i="1"/>
  <c r="S20" i="1" s="1"/>
  <c r="C52" i="1"/>
  <c r="C54" i="1" s="1"/>
  <c r="N49" i="1" l="1"/>
  <c r="N51" i="1" s="1"/>
  <c r="N56" i="1" s="1"/>
  <c r="U20" i="1"/>
  <c r="C56" i="1" l="1"/>
  <c r="D52" i="1"/>
  <c r="D54" i="1" s="1"/>
  <c r="D56" i="1" l="1"/>
  <c r="E52" i="1"/>
  <c r="E54" i="1" s="1"/>
  <c r="E56" i="1" s="1"/>
  <c r="O54" i="1"/>
  <c r="O56" i="1" s="1"/>
  <c r="S21" i="1" s="1"/>
  <c r="S11" i="1"/>
  <c r="S12" i="1" s="1"/>
  <c r="S19" i="1" s="1"/>
  <c r="U11" i="1" l="1"/>
  <c r="U12" i="1" s="1"/>
  <c r="U19" i="1" s="1"/>
  <c r="U21" i="1" s="1"/>
</calcChain>
</file>

<file path=xl/sharedStrings.xml><?xml version="1.0" encoding="utf-8"?>
<sst xmlns="http://schemas.openxmlformats.org/spreadsheetml/2006/main" count="98" uniqueCount="93">
  <si>
    <t xml:space="preserve"> SOARA - Statement of Cash Income &amp; Expenses</t>
  </si>
  <si>
    <t>FYE</t>
  </si>
  <si>
    <t>Financial Statement for Propagator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</si>
  <si>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</si>
  <si>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</si>
  <si>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</si>
  <si>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</si>
  <si>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</si>
  <si>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</si>
  <si>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</si>
  <si>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</si>
  <si>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</si>
  <si>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</si>
  <si>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</si>
  <si>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</si>
  <si>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Cash Income:</t>
  </si>
  <si>
    <t xml:space="preserve">     Member Dues-Renewal</t>
  </si>
  <si>
    <t xml:space="preserve">     Member Dues-New</t>
  </si>
  <si>
    <t>Increase</t>
  </si>
  <si>
    <t xml:space="preserve">     Initiation Fees</t>
  </si>
  <si>
    <t>(Decrease)</t>
  </si>
  <si>
    <t xml:space="preserve">     Total Member Income</t>
  </si>
  <si>
    <t xml:space="preserve">  Memberships</t>
  </si>
  <si>
    <t xml:space="preserve">       Equipment sales</t>
  </si>
  <si>
    <t xml:space="preserve">       Auction Commissions</t>
  </si>
  <si>
    <t xml:space="preserve">     Total Cash Income</t>
  </si>
  <si>
    <t>Cash Expenses:</t>
  </si>
  <si>
    <t xml:space="preserve">       Donations</t>
  </si>
  <si>
    <t xml:space="preserve">   Repeaters including site</t>
  </si>
  <si>
    <t xml:space="preserve">       Winter Social</t>
  </si>
  <si>
    <t xml:space="preserve">    rental, utilities &amp; insurance</t>
  </si>
  <si>
    <t xml:space="preserve">   Member Activities</t>
  </si>
  <si>
    <t>Total Cash Income</t>
  </si>
  <si>
    <t xml:space="preserve">   Other expenses</t>
  </si>
  <si>
    <t xml:space="preserve">     Total Cash Expenses</t>
  </si>
  <si>
    <t>Cash Net Income</t>
  </si>
  <si>
    <t xml:space="preserve">  Site Rental:</t>
  </si>
  <si>
    <t xml:space="preserve">     Santiago Peak</t>
  </si>
  <si>
    <t xml:space="preserve">     San Clemente</t>
  </si>
  <si>
    <t xml:space="preserve">     Laguna Beach W.D,</t>
  </si>
  <si>
    <t>Note:  If any member has questions about the financials, please</t>
  </si>
  <si>
    <t xml:space="preserve">  Utilities:</t>
  </si>
  <si>
    <t xml:space="preserve">             contact the Treasurer or any Board member.</t>
  </si>
  <si>
    <t xml:space="preserve">     Internet DSL</t>
  </si>
  <si>
    <t xml:space="preserve">  Equip. &amp; Repeater Maint.</t>
  </si>
  <si>
    <t xml:space="preserve">  Insurance: Hartford</t>
  </si>
  <si>
    <t>Total Repeater Expense</t>
  </si>
  <si>
    <t>Activities:</t>
  </si>
  <si>
    <t xml:space="preserve">     SOARA Saturday</t>
  </si>
  <si>
    <t>Total Activities Expense</t>
  </si>
  <si>
    <t>Other Expenses:</t>
  </si>
  <si>
    <t xml:space="preserve">     Website Hosting: Linode</t>
  </si>
  <si>
    <t xml:space="preserve">     Post Office Box</t>
  </si>
  <si>
    <t xml:space="preserve">     Payment processing fees</t>
  </si>
  <si>
    <t xml:space="preserve">     Other/Miscellaneous</t>
  </si>
  <si>
    <t>Total Other Expense</t>
  </si>
  <si>
    <t>Total Cash Expenses</t>
  </si>
  <si>
    <t>Ending Cash Balance 6355</t>
  </si>
  <si>
    <t xml:space="preserve">     Total Other Income</t>
  </si>
  <si>
    <t>Beginning Cash-October 1</t>
  </si>
  <si>
    <t xml:space="preserve">     T-Hunt Equipment</t>
  </si>
  <si>
    <t xml:space="preserve">       Repeater ICOM Rebate</t>
  </si>
  <si>
    <t xml:space="preserve">           SOARA - Statement of Cash Income &amp; Expenses</t>
  </si>
  <si>
    <t xml:space="preserve">     Other: 50th Anniv T-shirt</t>
  </si>
  <si>
    <t xml:space="preserve">     Field Day &amp; WFD - Food</t>
  </si>
  <si>
    <t>Budget</t>
  </si>
  <si>
    <t xml:space="preserve">     Telephone- ATT</t>
  </si>
  <si>
    <t xml:space="preserve">     Telephone- Frontier</t>
  </si>
  <si>
    <t>To-Date</t>
  </si>
  <si>
    <t xml:space="preserve">     Door Prizes</t>
  </si>
  <si>
    <t xml:space="preserve">     Picnic</t>
  </si>
  <si>
    <t xml:space="preserve">     Holiday Party</t>
  </si>
  <si>
    <t xml:space="preserve">     Field Day &amp; WFD - Other</t>
  </si>
  <si>
    <t xml:space="preserve">  Other &amp; Interest</t>
  </si>
  <si>
    <t>Cert of Deposit</t>
  </si>
  <si>
    <t>Transfer (to) From  MMA</t>
  </si>
  <si>
    <t>Month &amp; Year-to-Date for Fiscal Year Ending September 30, 2026</t>
  </si>
  <si>
    <t>FYE 9/30/2026</t>
  </si>
  <si>
    <t>9/30/2025</t>
  </si>
  <si>
    <t>Beginning Cash Balance- 6355</t>
  </si>
  <si>
    <t>CD Beginning Balance</t>
  </si>
  <si>
    <t>CD Interest Earned</t>
  </si>
  <si>
    <t>CD Ending Balance</t>
  </si>
  <si>
    <t>Ending Combined Cash Balance</t>
  </si>
  <si>
    <t xml:space="preserve"> Repeaters:</t>
  </si>
  <si>
    <t>---------------------2025--------------------</t>
  </si>
  <si>
    <t xml:space="preserve"> </t>
  </si>
  <si>
    <t xml:space="preserve">     T-shirts</t>
  </si>
  <si>
    <t>--------------------------------------------------------2026---------------------------------------------------------------</t>
  </si>
  <si>
    <t>11  Months</t>
  </si>
  <si>
    <t>October 2025 Through August 2026</t>
  </si>
  <si>
    <t>Eleven Months Ended:</t>
  </si>
  <si>
    <t>Ending Cash- August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</si>
</sst>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0" xfId="1" applyNumberFormat="1" applyFont="1" applyBorder="1"/>
    <xf numFmtId="164" fontId="0" fillId="0" borderId="5" xfId="1" applyNumberFormat="1" applyFont="1" applyBorder="1"/>
    <xf numFmtId="164" fontId="2" fillId="0" borderId="0" xfId="1" applyNumberFormat="1" applyFont="1" applyBorder="1"/>
    <xf numFmtId="164" fontId="2" fillId="0" borderId="5" xfId="1" applyNumberFormat="1" applyFont="1" applyBorder="1"/>
    <xf numFmtId="0" fontId="0" fillId="0" borderId="7" xfId="0" applyBorder="1"/>
    <xf numFmtId="0" fontId="0" fillId="0" borderId="8" xfId="0" applyBorder="1"/>
    <xf numFmtId="164" fontId="0" fillId="0" borderId="0" xfId="1" applyNumberFormat="1" applyFont="1"/>
    <xf numFmtId="164" fontId="2" fillId="0" borderId="0" xfId="1" applyNumberFormat="1" applyFont="1"/>
    <xf numFmtId="0" fontId="0" fillId="0" borderId="1" xfId="0" applyBorder="1"/>
    <xf numFmtId="0" fontId="3" fillId="0" borderId="0" xfId="0" applyFont="1" applyAlignment="1">
      <alignment horizontal="center"/>
    </xf>
    <xf numFmtId="164" fontId="3" fillId="0" borderId="0" xfId="1" applyNumberFormat="1" applyFont="1" applyBorder="1"/>
    <xf numFmtId="164" fontId="3" fillId="0" borderId="5" xfId="1" applyNumberFormat="1" applyFont="1" applyBorder="1"/>
    <xf numFmtId="0" fontId="0" fillId="0" borderId="6" xfId="0" applyBorder="1"/>
    <xf numFmtId="49" fontId="3" fillId="0" borderId="0" xfId="0" applyNumberFormat="1" applyFont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2" fillId="0" borderId="9" xfId="1" applyNumberFormat="1" applyFont="1" applyBorder="1"/>
    <xf numFmtId="1" fontId="0" fillId="0" borderId="0" xfId="1" applyNumberFormat="1" applyFont="1"/>
    <xf numFmtId="1" fontId="3" fillId="0" borderId="0" xfId="1" applyNumberFormat="1" applyFont="1"/>
    <xf numFmtId="1" fontId="0" fillId="0" borderId="0" xfId="0" applyNumberFormat="1"/>
    <xf numFmtId="164" fontId="2" fillId="0" borderId="0" xfId="0" applyNumberFormat="1" applyFont="1"/>
    <xf numFmtId="164" fontId="3" fillId="0" borderId="0" xfId="1" applyNumberFormat="1" applyFont="1"/>
    <xf numFmtId="164" fontId="1" fillId="0" borderId="0" xfId="1" applyNumberFormat="1" applyFont="1"/>
    <xf numFmtId="1" fontId="3" fillId="0" borderId="0" xfId="0" applyNumberFormat="1" applyFont="1"/>
    <xf numFmtId="164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5241-B37C-4F33-B5D0-E298C8969F27}">
  <sheetPr>
    <pageSetUpPr fitToPage="1"/>
  </sheetPr>
  <dimension ref="A1:Y60"/>
  <sheetViews>
    <sheetView tabSelected="1" topLeftCell="E1" zoomScaleNormal="100" workbookViewId="0">
      <pane ySplit="1440" topLeftCell="A41" activePane="bottomLeft"/>
      <selection activeCell="O4" sqref="O4"/>
      <selection pane="bottomLeft" activeCell="M39" sqref="M39"/>
    </sheetView>
  </sheetViews>
  <sheetFormatPr defaultRowHeight="14.25" x14ac:dyDescent="0.45"/>
  <cols>
    <col min="1" max="1" width="25.46484375" bestFit="1" customWidth="1"/>
    <col min="2" max="7" width="9.9296875" customWidth="1"/>
    <col min="8" max="8" width="9.9296875" style="14" customWidth="1"/>
    <col min="9" max="13" width="9.9296875" customWidth="1"/>
    <col min="14" max="14" width="9.9296875" hidden="1" customWidth="1"/>
    <col min="15" max="15" width="12.46484375" style="14" customWidth="1"/>
    <col min="16" max="16" width="15.06640625" bestFit="1" customWidth="1"/>
    <col min="17" max="17" width="3.59765625" customWidth="1"/>
    <col min="18" max="18" width="24.796875" bestFit="1" customWidth="1"/>
    <col min="19" max="20" width="9.59765625" customWidth="1"/>
    <col min="21" max="21" width="9.46484375" customWidth="1"/>
  </cols>
  <sheetData>
    <row r="1" spans="1:21" x14ac:dyDescent="0.45">
      <c r="C1" t="s">
        <v>62</v>
      </c>
    </row>
    <row r="2" spans="1:21" x14ac:dyDescent="0.45">
      <c r="C2" t="s">
        <v>76</v>
      </c>
    </row>
    <row r="3" spans="1:21" ht="14.65" thickBot="1" x14ac:dyDescent="0.5">
      <c r="B3" s="1" t="s">
        <v>1</v>
      </c>
      <c r="C3" s="22" t="s">
        <v>85</v>
      </c>
      <c r="F3" s="22" t="s">
        <v>88</v>
      </c>
      <c r="O3" s="34" t="s">
        <v>89</v>
      </c>
      <c r="P3" s="23" t="s">
        <v>65</v>
      </c>
      <c r="R3" t="s">
        <v>2</v>
      </c>
    </row>
    <row r="4" spans="1:21" ht="14.65" thickTop="1" x14ac:dyDescent="0.45">
      <c r="B4" s="21" t="s">
        <v>78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36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35" t="s">
        <v>68</v>
      </c>
      <c r="P4" s="24" t="s">
        <v>77</v>
      </c>
      <c r="R4" s="16" t="s">
        <v>0</v>
      </c>
      <c r="S4" s="2"/>
      <c r="T4" s="2"/>
      <c r="U4" s="3"/>
    </row>
    <row r="5" spans="1:21" x14ac:dyDescent="0.45">
      <c r="A5" t="s">
        <v>15</v>
      </c>
      <c r="R5" s="4" t="s">
        <v>90</v>
      </c>
      <c r="U5" s="5"/>
    </row>
    <row r="6" spans="1:21" x14ac:dyDescent="0.45">
      <c r="A6" t="s">
        <v>16</v>
      </c>
      <c r="B6" s="14">
        <v>9081</v>
      </c>
      <c r="C6" s="14">
        <f>4529+29+213+325</f>
        <v>5096</v>
      </c>
      <c r="D6" s="14">
        <v>500</v>
      </c>
      <c r="E6" s="14">
        <f>125-50</f>
        <v>75</v>
      </c>
      <c r="F6" s="14">
        <f>340+50</f>
        <v>390</v>
      </c>
      <c r="G6" s="14">
        <v>1194</v>
      </c>
      <c r="H6" s="14">
        <f>340-90+50</f>
        <v>300</v>
      </c>
      <c r="I6" s="14">
        <v>50</v>
      </c>
      <c r="J6" s="14"/>
      <c r="K6" s="14">
        <v>50</v>
      </c>
      <c r="L6" s="14">
        <v>30</v>
      </c>
      <c r="M6" s="14"/>
      <c r="N6" s="29">
        <v>0</v>
      </c>
      <c r="O6" s="14">
        <f>SUM(C6:N6)</f>
        <v>7685</v>
      </c>
      <c r="P6" s="14">
        <v>8000</v>
      </c>
      <c r="R6" s="4"/>
      <c r="U6" s="5"/>
    </row>
    <row r="7" spans="1:21" x14ac:dyDescent="0.45">
      <c r="A7" t="s">
        <v>17</v>
      </c>
      <c r="B7" s="14">
        <v>540</v>
      </c>
      <c r="C7" s="14"/>
      <c r="D7" s="14"/>
      <c r="E7" s="14">
        <v>50</v>
      </c>
      <c r="F7" s="14"/>
      <c r="G7" s="14"/>
      <c r="H7" s="14">
        <v>50</v>
      </c>
      <c r="I7" s="14"/>
      <c r="J7" s="14">
        <v>90</v>
      </c>
      <c r="K7" s="14">
        <v>50</v>
      </c>
      <c r="L7" s="14">
        <v>150</v>
      </c>
      <c r="M7" s="14">
        <v>24</v>
      </c>
      <c r="N7" s="27"/>
      <c r="O7" s="14">
        <f t="shared" ref="O7:O15" si="0">SUM(C7:N7)</f>
        <v>414</v>
      </c>
      <c r="P7" s="14">
        <v>450</v>
      </c>
      <c r="R7" s="4" t="s">
        <v>91</v>
      </c>
      <c r="S7" s="25" t="s">
        <v>13</v>
      </c>
      <c r="T7" s="25" t="s">
        <v>13</v>
      </c>
      <c r="U7" s="6" t="s">
        <v>18</v>
      </c>
    </row>
    <row r="8" spans="1:21" ht="16.5" x14ac:dyDescent="0.75">
      <c r="A8" t="s">
        <v>19</v>
      </c>
      <c r="B8" s="15">
        <v>440</v>
      </c>
      <c r="C8" s="15">
        <v>0</v>
      </c>
      <c r="D8" s="15">
        <v>0</v>
      </c>
      <c r="E8" s="15">
        <v>40</v>
      </c>
      <c r="F8" s="15">
        <v>0</v>
      </c>
      <c r="G8" s="15">
        <v>0</v>
      </c>
      <c r="H8" s="15">
        <v>40</v>
      </c>
      <c r="I8" s="15">
        <v>0</v>
      </c>
      <c r="J8" s="15">
        <v>0</v>
      </c>
      <c r="K8" s="15">
        <v>40</v>
      </c>
      <c r="L8" s="15">
        <v>120</v>
      </c>
      <c r="M8" s="15">
        <v>0</v>
      </c>
      <c r="N8" s="28"/>
      <c r="O8" s="15">
        <f t="shared" si="0"/>
        <v>240</v>
      </c>
      <c r="P8" s="15">
        <v>360</v>
      </c>
      <c r="R8" s="4"/>
      <c r="S8" s="17">
        <v>2026</v>
      </c>
      <c r="T8" s="17">
        <v>2025</v>
      </c>
      <c r="U8" s="7" t="s">
        <v>20</v>
      </c>
    </row>
    <row r="9" spans="1:21" ht="16.5" x14ac:dyDescent="0.75">
      <c r="A9" t="s">
        <v>21</v>
      </c>
      <c r="B9" s="15">
        <f>SUM(B6:B8)</f>
        <v>10061</v>
      </c>
      <c r="C9" s="15">
        <f t="shared" ref="C9:N9" si="1">SUM(C6:C8)</f>
        <v>5096</v>
      </c>
      <c r="D9" s="15">
        <f t="shared" si="1"/>
        <v>500</v>
      </c>
      <c r="E9" s="15">
        <f t="shared" si="1"/>
        <v>165</v>
      </c>
      <c r="F9" s="15">
        <f t="shared" si="1"/>
        <v>390</v>
      </c>
      <c r="G9" s="15">
        <f t="shared" si="1"/>
        <v>1194</v>
      </c>
      <c r="H9" s="15">
        <f t="shared" si="1"/>
        <v>390</v>
      </c>
      <c r="I9" s="15">
        <f t="shared" si="1"/>
        <v>50</v>
      </c>
      <c r="J9" s="15">
        <f t="shared" si="1"/>
        <v>90</v>
      </c>
      <c r="K9" s="15">
        <f t="shared" si="1"/>
        <v>140</v>
      </c>
      <c r="L9" s="15">
        <f t="shared" si="1"/>
        <v>300</v>
      </c>
      <c r="M9" s="15">
        <f t="shared" si="1"/>
        <v>24</v>
      </c>
      <c r="N9" s="28">
        <f t="shared" si="1"/>
        <v>0</v>
      </c>
      <c r="O9" s="15">
        <f>SUM(O6:O8)</f>
        <v>8339</v>
      </c>
      <c r="P9" s="15">
        <f>SUM(P6:P8)</f>
        <v>8810</v>
      </c>
      <c r="R9" s="4" t="s">
        <v>15</v>
      </c>
      <c r="U9" s="5"/>
    </row>
    <row r="10" spans="1:21" x14ac:dyDescent="0.45">
      <c r="A10" t="s">
        <v>63</v>
      </c>
      <c r="B10" s="14">
        <v>45</v>
      </c>
      <c r="C10" s="14"/>
      <c r="D10" s="14"/>
      <c r="E10" s="14"/>
      <c r="F10" s="14"/>
      <c r="G10" s="14"/>
      <c r="I10" s="14"/>
      <c r="J10" s="14"/>
      <c r="K10" s="14"/>
      <c r="L10" s="14"/>
      <c r="M10" s="14"/>
      <c r="N10" s="27"/>
      <c r="O10" s="14">
        <f t="shared" si="0"/>
        <v>0</v>
      </c>
      <c r="P10" s="14">
        <v>-1500</v>
      </c>
      <c r="R10" s="4" t="s">
        <v>22</v>
      </c>
      <c r="S10" s="8">
        <f>+O9</f>
        <v>8339</v>
      </c>
      <c r="T10" s="8">
        <v>9871</v>
      </c>
      <c r="U10" s="9">
        <f>+S10-T10</f>
        <v>-1532</v>
      </c>
    </row>
    <row r="11" spans="1:21" ht="16.5" x14ac:dyDescent="0.75">
      <c r="A11" t="s">
        <v>23</v>
      </c>
      <c r="B11" s="14">
        <v>250</v>
      </c>
      <c r="C11" s="14"/>
      <c r="D11" s="14"/>
      <c r="E11" s="14"/>
      <c r="F11" s="14"/>
      <c r="G11" s="14"/>
      <c r="I11" s="14"/>
      <c r="J11" s="14"/>
      <c r="K11" s="14"/>
      <c r="L11" s="14"/>
      <c r="M11" s="14"/>
      <c r="N11" s="27"/>
      <c r="O11" s="14">
        <f t="shared" si="0"/>
        <v>0</v>
      </c>
      <c r="P11" s="14"/>
      <c r="R11" s="4" t="s">
        <v>73</v>
      </c>
      <c r="S11" s="18">
        <f>+O16+O53</f>
        <v>2370.4899999999998</v>
      </c>
      <c r="T11" s="18">
        <v>3933</v>
      </c>
      <c r="U11" s="11">
        <f>+S11-T11</f>
        <v>-1562.5100000000002</v>
      </c>
    </row>
    <row r="12" spans="1:21" x14ac:dyDescent="0.45">
      <c r="A12" t="s">
        <v>24</v>
      </c>
      <c r="B12" s="14">
        <v>50</v>
      </c>
      <c r="C12" s="14"/>
      <c r="D12" s="14"/>
      <c r="E12" s="14"/>
      <c r="F12" s="14"/>
      <c r="G12" s="14"/>
      <c r="I12" s="14"/>
      <c r="J12" s="14"/>
      <c r="K12" s="14"/>
      <c r="L12" s="14"/>
      <c r="M12" s="14"/>
      <c r="N12" s="14"/>
      <c r="O12" s="14">
        <f t="shared" si="0"/>
        <v>0</v>
      </c>
      <c r="P12" s="14">
        <v>100</v>
      </c>
      <c r="R12" s="4" t="s">
        <v>25</v>
      </c>
      <c r="S12" s="18">
        <f>SUM(S10:S11)</f>
        <v>10709.49</v>
      </c>
      <c r="T12" s="18">
        <f>SUM(T10:T11)</f>
        <v>13804</v>
      </c>
      <c r="U12" s="19">
        <f>SUM(U10:U11)</f>
        <v>-3094.51</v>
      </c>
    </row>
    <row r="13" spans="1:21" x14ac:dyDescent="0.45">
      <c r="A13" t="s">
        <v>61</v>
      </c>
      <c r="B13" s="14">
        <f>+C13+D13+E13+F13+G13+H13+I13+J13+K13+L13+M13+N13</f>
        <v>0</v>
      </c>
      <c r="C13" s="14"/>
      <c r="D13" s="14"/>
      <c r="E13" s="14"/>
      <c r="F13" s="14"/>
      <c r="G13" s="14"/>
      <c r="I13" s="14"/>
      <c r="J13" s="14"/>
      <c r="K13" s="14"/>
      <c r="L13" s="14"/>
      <c r="M13" s="14"/>
      <c r="N13" s="14"/>
      <c r="O13" s="14">
        <f t="shared" si="0"/>
        <v>0</v>
      </c>
      <c r="P13" s="14"/>
      <c r="R13" s="4" t="s">
        <v>26</v>
      </c>
      <c r="S13" s="8"/>
      <c r="T13" s="8"/>
      <c r="U13" s="9"/>
    </row>
    <row r="14" spans="1:21" x14ac:dyDescent="0.45">
      <c r="A14" t="s">
        <v>27</v>
      </c>
      <c r="B14" s="14">
        <v>1647</v>
      </c>
      <c r="C14" s="14"/>
      <c r="D14" s="14"/>
      <c r="E14" s="14"/>
      <c r="F14" s="14"/>
      <c r="G14" s="14"/>
      <c r="I14" s="14"/>
      <c r="J14" s="14"/>
      <c r="K14" s="14"/>
      <c r="L14" s="14"/>
      <c r="M14" s="14"/>
      <c r="N14" s="14"/>
      <c r="O14" s="14">
        <f t="shared" si="0"/>
        <v>0</v>
      </c>
      <c r="P14" s="14">
        <v>1500</v>
      </c>
      <c r="R14" s="4" t="s">
        <v>28</v>
      </c>
      <c r="S14" s="8"/>
      <c r="T14" s="8"/>
      <c r="U14" s="9"/>
    </row>
    <row r="15" spans="1:21" ht="16.5" x14ac:dyDescent="0.75">
      <c r="A15" t="s">
        <v>29</v>
      </c>
      <c r="B15" s="15">
        <v>1254</v>
      </c>
      <c r="C15" s="15">
        <v>0</v>
      </c>
      <c r="D15" s="15">
        <f>1540-70</f>
        <v>1470</v>
      </c>
      <c r="E15" s="15">
        <f>140+70</f>
        <v>210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/>
      <c r="O15" s="15">
        <f t="shared" si="0"/>
        <v>1680</v>
      </c>
      <c r="P15" s="15">
        <v>1200</v>
      </c>
      <c r="R15" s="4" t="s">
        <v>30</v>
      </c>
      <c r="S15" s="8">
        <f>+O30</f>
        <v>6670.7099999999991</v>
      </c>
      <c r="T15" s="8">
        <v>6642</v>
      </c>
      <c r="U15" s="9">
        <f t="shared" ref="U15:U17" si="2">+S15-T15</f>
        <v>28.709999999999127</v>
      </c>
    </row>
    <row r="16" spans="1:21" ht="16.5" x14ac:dyDescent="0.75">
      <c r="A16" t="s">
        <v>58</v>
      </c>
      <c r="B16" s="15">
        <f>SUM(B10:B15)</f>
        <v>3246</v>
      </c>
      <c r="C16" s="15">
        <f t="shared" ref="C16:P16" si="3">SUM(C10:C15)</f>
        <v>0</v>
      </c>
      <c r="D16" s="15">
        <f t="shared" si="3"/>
        <v>1470</v>
      </c>
      <c r="E16" s="15">
        <f t="shared" si="3"/>
        <v>210</v>
      </c>
      <c r="F16" s="15">
        <f t="shared" si="3"/>
        <v>0</v>
      </c>
      <c r="G16" s="15">
        <f t="shared" si="3"/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si="3"/>
        <v>0</v>
      </c>
      <c r="L16" s="15">
        <f t="shared" si="3"/>
        <v>0</v>
      </c>
      <c r="M16" s="15">
        <f t="shared" si="3"/>
        <v>0</v>
      </c>
      <c r="N16" s="15">
        <f t="shared" si="3"/>
        <v>0</v>
      </c>
      <c r="O16" s="15">
        <f>SUM(O10:O15)</f>
        <v>1680</v>
      </c>
      <c r="P16" s="15">
        <f t="shared" si="3"/>
        <v>1300</v>
      </c>
      <c r="R16" s="4" t="s">
        <v>31</v>
      </c>
      <c r="S16" s="8">
        <f>+O39</f>
        <v>2995.71</v>
      </c>
      <c r="T16" s="8">
        <v>2966</v>
      </c>
      <c r="U16" s="9">
        <f t="shared" si="2"/>
        <v>29.710000000000036</v>
      </c>
    </row>
    <row r="17" spans="1:21" ht="16.5" x14ac:dyDescent="0.75">
      <c r="A17" t="s">
        <v>32</v>
      </c>
      <c r="B17" s="15">
        <f>+B9+B16</f>
        <v>13307</v>
      </c>
      <c r="C17" s="15">
        <f t="shared" ref="C17:P17" si="4">+C9+C16</f>
        <v>5096</v>
      </c>
      <c r="D17" s="15">
        <f t="shared" si="4"/>
        <v>1970</v>
      </c>
      <c r="E17" s="15">
        <f t="shared" si="4"/>
        <v>375</v>
      </c>
      <c r="F17" s="15">
        <f>+F9+F16</f>
        <v>390</v>
      </c>
      <c r="G17" s="15">
        <f t="shared" si="4"/>
        <v>1194</v>
      </c>
      <c r="H17" s="15">
        <f t="shared" si="4"/>
        <v>390</v>
      </c>
      <c r="I17" s="15">
        <f t="shared" si="4"/>
        <v>50</v>
      </c>
      <c r="J17" s="15">
        <f t="shared" si="4"/>
        <v>90</v>
      </c>
      <c r="K17" s="15">
        <f t="shared" si="4"/>
        <v>140</v>
      </c>
      <c r="L17" s="15">
        <f t="shared" si="4"/>
        <v>300</v>
      </c>
      <c r="M17" s="15">
        <f t="shared" si="4"/>
        <v>24</v>
      </c>
      <c r="N17" s="15">
        <f t="shared" si="4"/>
        <v>0</v>
      </c>
      <c r="O17" s="15">
        <f>+O9+O16</f>
        <v>10019</v>
      </c>
      <c r="P17" s="15">
        <f t="shared" si="4"/>
        <v>10110</v>
      </c>
      <c r="R17" s="4" t="s">
        <v>33</v>
      </c>
      <c r="S17" s="18">
        <f>+O46</f>
        <v>2876.86</v>
      </c>
      <c r="T17" s="18">
        <v>1261</v>
      </c>
      <c r="U17" s="11">
        <f t="shared" si="2"/>
        <v>1615.8600000000001</v>
      </c>
    </row>
    <row r="18" spans="1:21" x14ac:dyDescent="0.45">
      <c r="A18" t="s">
        <v>26</v>
      </c>
      <c r="B18" s="14"/>
      <c r="C18" s="14"/>
      <c r="D18" s="14"/>
      <c r="E18" s="14"/>
      <c r="F18" s="14"/>
      <c r="G18" s="14"/>
      <c r="I18" s="14"/>
      <c r="J18" s="14"/>
      <c r="K18" s="14"/>
      <c r="L18" s="14"/>
      <c r="M18" s="14"/>
      <c r="N18" s="14"/>
      <c r="P18" s="14"/>
      <c r="R18" s="4" t="s">
        <v>34</v>
      </c>
      <c r="S18" s="18">
        <f>SUM(S15:S17)</f>
        <v>12543.279999999999</v>
      </c>
      <c r="T18" s="18">
        <f>SUM(T15:T17)</f>
        <v>10869</v>
      </c>
      <c r="U18" s="19">
        <f>SUM(U15:U17)</f>
        <v>1674.2799999999993</v>
      </c>
    </row>
    <row r="19" spans="1:21" x14ac:dyDescent="0.45">
      <c r="A19" t="s">
        <v>84</v>
      </c>
      <c r="B19" s="14">
        <f>+C19+D19+E19+F19+G19+H19+I19+J19+K19+L19+M19+N19</f>
        <v>0</v>
      </c>
      <c r="C19" s="14"/>
      <c r="D19" s="14"/>
      <c r="E19" s="14"/>
      <c r="F19" s="14"/>
      <c r="G19" s="14"/>
      <c r="I19" s="14"/>
      <c r="J19" s="14"/>
      <c r="K19" s="14"/>
      <c r="L19" s="14"/>
      <c r="M19" s="14"/>
      <c r="N19" s="14"/>
      <c r="P19" s="14"/>
      <c r="R19" s="4" t="s">
        <v>35</v>
      </c>
      <c r="S19" s="8">
        <f>+S12-S18</f>
        <v>-1833.7899999999991</v>
      </c>
      <c r="T19" s="8">
        <v>2936</v>
      </c>
      <c r="U19" s="9">
        <f>+U12-U18</f>
        <v>-4768.7899999999991</v>
      </c>
    </row>
    <row r="20" spans="1:21" ht="16.5" x14ac:dyDescent="0.75">
      <c r="A20" t="s">
        <v>36</v>
      </c>
      <c r="B20" s="14">
        <f>+C20+D20+E20+F20+G20+H20+I20+J20+K20+L20+M20+N20</f>
        <v>0</v>
      </c>
      <c r="C20" s="14"/>
      <c r="D20" s="14"/>
      <c r="E20" s="14"/>
      <c r="F20" s="14"/>
      <c r="G20" s="14"/>
      <c r="I20" s="14"/>
      <c r="J20" s="14"/>
      <c r="K20" s="14"/>
      <c r="L20" s="14"/>
      <c r="M20" s="14"/>
      <c r="N20" s="14"/>
      <c r="O20" s="14">
        <f t="shared" ref="O20" si="5">+C20+D20+E20+F20</f>
        <v>0</v>
      </c>
      <c r="P20" s="14"/>
      <c r="R20" s="4" t="s">
        <v>59</v>
      </c>
      <c r="S20" s="10">
        <f>+B56</f>
        <v>28179.03</v>
      </c>
      <c r="T20" s="10">
        <v>25745</v>
      </c>
      <c r="U20" s="11">
        <f>+S20-T20</f>
        <v>2434.0299999999988</v>
      </c>
    </row>
    <row r="21" spans="1:21" x14ac:dyDescent="0.45">
      <c r="A21" t="s">
        <v>37</v>
      </c>
      <c r="B21" s="14">
        <v>4200</v>
      </c>
      <c r="C21" s="14">
        <v>350</v>
      </c>
      <c r="D21" s="14"/>
      <c r="E21" s="14"/>
      <c r="F21" s="14">
        <v>1050</v>
      </c>
      <c r="G21" s="14">
        <v>350</v>
      </c>
      <c r="H21" s="14">
        <v>350</v>
      </c>
      <c r="I21" s="14">
        <v>350</v>
      </c>
      <c r="J21" s="14">
        <v>350</v>
      </c>
      <c r="K21" s="14">
        <v>350</v>
      </c>
      <c r="L21" s="14">
        <v>350</v>
      </c>
      <c r="M21" s="14">
        <v>350</v>
      </c>
      <c r="N21" s="14"/>
      <c r="O21" s="14">
        <f t="shared" ref="O21:O38" si="6">SUM(C21:N21)</f>
        <v>3850</v>
      </c>
      <c r="P21" s="14">
        <v>4200</v>
      </c>
      <c r="R21" s="4" t="s">
        <v>92</v>
      </c>
      <c r="S21" s="8">
        <f>+O56</f>
        <v>26345.24</v>
      </c>
      <c r="T21" s="8">
        <f>+T19+T20</f>
        <v>28681</v>
      </c>
      <c r="U21" s="9">
        <f>SUM(U19:U20)</f>
        <v>-2334.7600000000002</v>
      </c>
    </row>
    <row r="22" spans="1:21" x14ac:dyDescent="0.45">
      <c r="A22" t="s">
        <v>38</v>
      </c>
      <c r="B22" s="14">
        <v>120</v>
      </c>
      <c r="C22" s="14"/>
      <c r="D22" s="14"/>
      <c r="E22" s="14"/>
      <c r="F22" s="14"/>
      <c r="I22" s="14"/>
      <c r="J22" s="14"/>
      <c r="K22" s="14"/>
      <c r="L22" s="14">
        <v>120</v>
      </c>
      <c r="M22" s="14"/>
      <c r="N22" s="14"/>
      <c r="O22" s="14">
        <f t="shared" si="6"/>
        <v>120</v>
      </c>
      <c r="P22" s="14">
        <v>120</v>
      </c>
      <c r="R22" s="4"/>
      <c r="U22" s="5"/>
    </row>
    <row r="23" spans="1:21" x14ac:dyDescent="0.45">
      <c r="A23" t="s">
        <v>39</v>
      </c>
      <c r="B23" s="14">
        <v>5</v>
      </c>
      <c r="C23" s="14"/>
      <c r="D23" s="14"/>
      <c r="E23" s="14"/>
      <c r="F23" s="14"/>
      <c r="G23" s="14"/>
      <c r="I23" s="14"/>
      <c r="J23" s="14"/>
      <c r="K23" s="14"/>
      <c r="L23" s="14"/>
      <c r="M23" s="14"/>
      <c r="N23" s="14"/>
      <c r="O23" s="14">
        <f t="shared" si="6"/>
        <v>0</v>
      </c>
      <c r="P23" s="14">
        <v>5</v>
      </c>
      <c r="R23" s="4" t="s">
        <v>40</v>
      </c>
      <c r="U23" s="5"/>
    </row>
    <row r="24" spans="1:21" ht="14.65" thickBot="1" x14ac:dyDescent="0.5">
      <c r="A24" t="s">
        <v>41</v>
      </c>
      <c r="B24" s="14"/>
      <c r="C24" s="14"/>
      <c r="D24" s="14"/>
      <c r="E24" s="14"/>
      <c r="F24" s="14"/>
      <c r="G24" s="14"/>
      <c r="I24" s="14"/>
      <c r="J24" s="14"/>
      <c r="K24" s="14"/>
      <c r="L24" s="14"/>
      <c r="M24" s="14"/>
      <c r="N24" s="14"/>
      <c r="O24" s="14">
        <f t="shared" si="6"/>
        <v>0</v>
      </c>
      <c r="P24" s="14"/>
      <c r="R24" s="20" t="s">
        <v>42</v>
      </c>
      <c r="S24" s="12"/>
      <c r="T24" s="12"/>
      <c r="U24" s="13"/>
    </row>
    <row r="25" spans="1:21" ht="14.65" thickTop="1" x14ac:dyDescent="0.45">
      <c r="A25" t="s">
        <v>43</v>
      </c>
      <c r="B25" s="14">
        <v>608</v>
      </c>
      <c r="C25" s="14">
        <v>53.62</v>
      </c>
      <c r="D25" s="14">
        <v>53.62</v>
      </c>
      <c r="E25" s="14">
        <v>53.62</v>
      </c>
      <c r="F25" s="14">
        <v>53.62</v>
      </c>
      <c r="G25" s="14">
        <v>55.62</v>
      </c>
      <c r="H25" s="14">
        <v>55.62</v>
      </c>
      <c r="I25" s="14">
        <v>55.62</v>
      </c>
      <c r="J25" s="14">
        <v>55.62</v>
      </c>
      <c r="K25" s="14">
        <v>55.62</v>
      </c>
      <c r="L25" s="14">
        <v>55.62</v>
      </c>
      <c r="M25" s="14">
        <v>55.62</v>
      </c>
      <c r="N25" s="14"/>
      <c r="O25" s="14">
        <f t="shared" si="6"/>
        <v>603.81999999999994</v>
      </c>
      <c r="P25" s="14">
        <v>600</v>
      </c>
    </row>
    <row r="26" spans="1:21" x14ac:dyDescent="0.45">
      <c r="A26" t="s">
        <v>66</v>
      </c>
      <c r="B26" s="14">
        <v>632</v>
      </c>
      <c r="C26" s="14">
        <v>54.04</v>
      </c>
      <c r="D26" s="14">
        <v>54.04</v>
      </c>
      <c r="E26" s="14">
        <v>55.04</v>
      </c>
      <c r="F26" s="14">
        <v>54.45</v>
      </c>
      <c r="G26" s="14">
        <v>65.989999999999995</v>
      </c>
      <c r="H26" s="14">
        <v>62.51</v>
      </c>
      <c r="I26" s="14">
        <v>62.55</v>
      </c>
      <c r="J26" s="14">
        <v>62.55</v>
      </c>
      <c r="K26" s="14">
        <v>62.48</v>
      </c>
      <c r="L26" s="14">
        <v>62.52</v>
      </c>
      <c r="M26" s="14">
        <v>62.52</v>
      </c>
      <c r="N26" s="14"/>
      <c r="O26" s="14">
        <f t="shared" si="6"/>
        <v>658.68999999999994</v>
      </c>
      <c r="P26" s="14">
        <v>600</v>
      </c>
    </row>
    <row r="27" spans="1:21" x14ac:dyDescent="0.45">
      <c r="A27" t="s">
        <v>67</v>
      </c>
      <c r="B27" s="14">
        <v>522</v>
      </c>
      <c r="C27" s="14">
        <v>43.37</v>
      </c>
      <c r="D27" s="14">
        <v>43.51</v>
      </c>
      <c r="E27" s="14">
        <v>43.51</v>
      </c>
      <c r="F27" s="14">
        <v>43.51</v>
      </c>
      <c r="G27" s="14">
        <v>43.66</v>
      </c>
      <c r="H27" s="14">
        <v>43.66</v>
      </c>
      <c r="I27" s="14">
        <v>43.66</v>
      </c>
      <c r="J27" s="14">
        <v>43.63</v>
      </c>
      <c r="K27" s="14">
        <v>43.63</v>
      </c>
      <c r="L27" s="14">
        <v>43.63</v>
      </c>
      <c r="M27" s="14">
        <v>43.74</v>
      </c>
      <c r="N27" s="14"/>
      <c r="O27" s="14">
        <f t="shared" si="6"/>
        <v>479.51</v>
      </c>
      <c r="P27" s="14">
        <v>500</v>
      </c>
    </row>
    <row r="28" spans="1:21" x14ac:dyDescent="0.45">
      <c r="A28" t="s">
        <v>44</v>
      </c>
      <c r="B28" s="14">
        <f>+C28+D28+E28+F28+G28+H28+I28+J28+K28+L28+M28+N28</f>
        <v>0</v>
      </c>
      <c r="C28" s="14"/>
      <c r="D28" s="14"/>
      <c r="E28" s="14"/>
      <c r="F28" s="14"/>
      <c r="G28" s="14"/>
      <c r="I28" s="14"/>
      <c r="J28" s="14"/>
      <c r="K28" s="14"/>
      <c r="L28" s="14"/>
      <c r="M28" s="14"/>
      <c r="N28" s="14"/>
      <c r="O28" s="14">
        <f t="shared" si="6"/>
        <v>0</v>
      </c>
      <c r="P28" s="14">
        <v>500</v>
      </c>
    </row>
    <row r="29" spans="1:21" ht="16.5" x14ac:dyDescent="0.75">
      <c r="A29" t="s">
        <v>45</v>
      </c>
      <c r="B29" s="15">
        <v>1056</v>
      </c>
      <c r="C29" s="15">
        <v>0</v>
      </c>
      <c r="D29" s="15">
        <v>0</v>
      </c>
      <c r="E29" s="15">
        <v>0</v>
      </c>
      <c r="F29" s="15">
        <v>0</v>
      </c>
      <c r="G29" s="15">
        <v>958.69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/>
      <c r="O29" s="15">
        <f t="shared" si="6"/>
        <v>958.69</v>
      </c>
      <c r="P29" s="15">
        <v>1100</v>
      </c>
    </row>
    <row r="30" spans="1:21" ht="16.5" x14ac:dyDescent="0.75">
      <c r="A30" t="s">
        <v>46</v>
      </c>
      <c r="B30" s="15">
        <f>SUM(B21:B29)</f>
        <v>7143</v>
      </c>
      <c r="C30" s="15">
        <f t="shared" ref="C30:N30" si="7">SUM(C21:C29)</f>
        <v>501.03000000000003</v>
      </c>
      <c r="D30" s="15">
        <f t="shared" si="7"/>
        <v>151.16999999999999</v>
      </c>
      <c r="E30" s="15">
        <f t="shared" si="7"/>
        <v>152.16999999999999</v>
      </c>
      <c r="F30" s="15">
        <f t="shared" si="7"/>
        <v>1201.58</v>
      </c>
      <c r="G30" s="15">
        <f>SUM(G21:G29)</f>
        <v>1473.96</v>
      </c>
      <c r="H30" s="15">
        <f t="shared" si="7"/>
        <v>511.78999999999996</v>
      </c>
      <c r="I30" s="15">
        <f t="shared" si="7"/>
        <v>511.83000000000004</v>
      </c>
      <c r="J30" s="15">
        <f t="shared" si="7"/>
        <v>511.8</v>
      </c>
      <c r="K30" s="15">
        <f t="shared" si="7"/>
        <v>511.73</v>
      </c>
      <c r="L30" s="15">
        <f t="shared" si="7"/>
        <v>631.77</v>
      </c>
      <c r="M30" s="15">
        <f t="shared" si="7"/>
        <v>511.88</v>
      </c>
      <c r="N30" s="15">
        <f t="shared" si="7"/>
        <v>0</v>
      </c>
      <c r="O30" s="15">
        <f>SUM(O21:O29)</f>
        <v>6670.7099999999991</v>
      </c>
      <c r="P30" s="15">
        <f t="shared" ref="P30" si="8">SUM(P21:P29)</f>
        <v>7625</v>
      </c>
    </row>
    <row r="31" spans="1:21" x14ac:dyDescent="0.45">
      <c r="A31" t="s">
        <v>47</v>
      </c>
      <c r="B31" s="14">
        <f>+C31+D31+E31+F31+G31+H31+I31+J31+K31+L31+M31+N31</f>
        <v>0</v>
      </c>
      <c r="C31" s="14"/>
      <c r="D31" s="14"/>
      <c r="E31" s="14"/>
      <c r="F31" s="14"/>
      <c r="G31" s="14"/>
      <c r="I31" s="14"/>
      <c r="J31" s="14"/>
      <c r="K31" s="14"/>
      <c r="L31" s="14"/>
      <c r="M31" s="14"/>
      <c r="N31" s="14"/>
      <c r="O31" s="14">
        <f t="shared" si="6"/>
        <v>0</v>
      </c>
      <c r="P31" s="14"/>
    </row>
    <row r="32" spans="1:21" x14ac:dyDescent="0.45">
      <c r="A32" t="s">
        <v>60</v>
      </c>
      <c r="B32" s="14">
        <f>+C32+D32+E32+F32+G32+H32+I32+J32+K32+L32+M32+N32</f>
        <v>0</v>
      </c>
      <c r="C32" s="14"/>
      <c r="D32" s="14"/>
      <c r="E32" s="14"/>
      <c r="F32" s="14"/>
      <c r="G32" s="14"/>
      <c r="I32" s="14"/>
      <c r="J32" s="14"/>
      <c r="K32" s="14"/>
      <c r="L32" s="14"/>
      <c r="M32" s="14"/>
      <c r="N32" s="14"/>
      <c r="O32" s="14">
        <f t="shared" si="6"/>
        <v>0</v>
      </c>
      <c r="P32" s="14"/>
    </row>
    <row r="33" spans="1:25" x14ac:dyDescent="0.45">
      <c r="A33" t="s">
        <v>48</v>
      </c>
      <c r="B33" s="14"/>
      <c r="C33" s="14"/>
      <c r="D33" s="14"/>
      <c r="E33" s="14"/>
      <c r="F33" s="14"/>
      <c r="G33" s="14"/>
      <c r="I33" s="14"/>
      <c r="J33" s="14">
        <v>22.08</v>
      </c>
      <c r="K33" s="14"/>
      <c r="L33" s="14"/>
      <c r="M33" s="14"/>
      <c r="N33" s="14"/>
      <c r="O33" s="14">
        <f t="shared" si="6"/>
        <v>22.08</v>
      </c>
      <c r="P33" s="14"/>
    </row>
    <row r="34" spans="1:25" x14ac:dyDescent="0.45">
      <c r="A34" t="s">
        <v>64</v>
      </c>
      <c r="B34" s="14">
        <v>793</v>
      </c>
      <c r="C34" s="14"/>
      <c r="D34" s="14"/>
      <c r="E34" s="14"/>
      <c r="F34" s="14"/>
      <c r="G34" s="14"/>
      <c r="I34" s="14"/>
      <c r="J34" s="14"/>
      <c r="K34" s="14"/>
      <c r="L34" s="14"/>
      <c r="M34" s="14"/>
      <c r="N34" s="14"/>
      <c r="O34" s="14">
        <f t="shared" si="6"/>
        <v>0</v>
      </c>
      <c r="P34" s="14">
        <v>900</v>
      </c>
    </row>
    <row r="35" spans="1:25" x14ac:dyDescent="0.45">
      <c r="A35" t="s">
        <v>72</v>
      </c>
      <c r="B35" s="14">
        <v>0</v>
      </c>
      <c r="C35" s="14"/>
      <c r="D35" s="14"/>
      <c r="E35" s="14"/>
      <c r="F35" s="14">
        <v>407.13</v>
      </c>
      <c r="G35" s="14"/>
      <c r="I35" s="14"/>
      <c r="J35" s="14"/>
      <c r="K35" s="14"/>
      <c r="L35" s="14"/>
      <c r="M35" s="14"/>
      <c r="N35" s="14"/>
      <c r="O35" s="14">
        <f t="shared" si="6"/>
        <v>407.13</v>
      </c>
      <c r="P35" s="14">
        <v>1000</v>
      </c>
    </row>
    <row r="36" spans="1:25" x14ac:dyDescent="0.45">
      <c r="A36" t="s">
        <v>70</v>
      </c>
      <c r="B36" s="14">
        <v>365</v>
      </c>
      <c r="C36" s="14"/>
      <c r="D36" s="14"/>
      <c r="E36" s="14"/>
      <c r="F36" s="14"/>
      <c r="G36" s="14"/>
      <c r="I36" s="14"/>
      <c r="J36" s="14"/>
      <c r="K36" s="14"/>
      <c r="L36" s="14"/>
      <c r="M36" s="14"/>
      <c r="N36" s="14"/>
      <c r="O36" s="14">
        <f t="shared" si="6"/>
        <v>0</v>
      </c>
      <c r="P36" s="14">
        <v>200</v>
      </c>
    </row>
    <row r="37" spans="1:25" x14ac:dyDescent="0.45">
      <c r="A37" t="s">
        <v>71</v>
      </c>
      <c r="B37" s="14">
        <v>1439</v>
      </c>
      <c r="D37" s="14"/>
      <c r="E37" s="14">
        <f>1307.98+332</f>
        <v>1639.98</v>
      </c>
      <c r="F37" s="14">
        <f>117.93+18.3+30+20</f>
        <v>186.23000000000002</v>
      </c>
      <c r="G37" s="14"/>
      <c r="I37" s="14"/>
      <c r="J37" s="14"/>
      <c r="K37" s="14"/>
      <c r="L37" s="14">
        <v>140.29</v>
      </c>
      <c r="N37" s="14"/>
      <c r="O37" s="14">
        <f t="shared" si="6"/>
        <v>1966.5</v>
      </c>
      <c r="P37" s="14">
        <v>1700</v>
      </c>
    </row>
    <row r="38" spans="1:25" ht="16.5" x14ac:dyDescent="0.75">
      <c r="A38" t="s">
        <v>69</v>
      </c>
      <c r="B38" s="15">
        <v>600</v>
      </c>
      <c r="C38" s="15">
        <v>0</v>
      </c>
      <c r="D38" s="15">
        <v>600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/>
      <c r="O38" s="15">
        <f t="shared" si="6"/>
        <v>600</v>
      </c>
      <c r="P38" s="15">
        <v>500</v>
      </c>
    </row>
    <row r="39" spans="1:25" ht="16.5" x14ac:dyDescent="0.75">
      <c r="A39" t="s">
        <v>49</v>
      </c>
      <c r="B39" s="15">
        <f>SUM(B31:B38)</f>
        <v>3197</v>
      </c>
      <c r="C39" s="15">
        <f t="shared" ref="C39:P39" si="9">SUM(C31:C38)</f>
        <v>0</v>
      </c>
      <c r="D39" s="15">
        <f t="shared" si="9"/>
        <v>600</v>
      </c>
      <c r="E39" s="15">
        <f t="shared" si="9"/>
        <v>1639.98</v>
      </c>
      <c r="F39" s="15">
        <f t="shared" si="9"/>
        <v>593.36</v>
      </c>
      <c r="G39" s="15">
        <f t="shared" si="9"/>
        <v>0</v>
      </c>
      <c r="H39" s="15">
        <f>SUM(H31:H38)</f>
        <v>0</v>
      </c>
      <c r="I39" s="15">
        <f t="shared" si="9"/>
        <v>0</v>
      </c>
      <c r="J39" s="26">
        <f t="shared" si="9"/>
        <v>22.08</v>
      </c>
      <c r="K39" s="15">
        <f t="shared" si="9"/>
        <v>0</v>
      </c>
      <c r="L39" s="15">
        <f t="shared" si="9"/>
        <v>140.29</v>
      </c>
      <c r="M39" s="15">
        <f t="shared" si="9"/>
        <v>0</v>
      </c>
      <c r="N39" s="15">
        <f t="shared" si="9"/>
        <v>0</v>
      </c>
      <c r="O39" s="15">
        <f t="shared" si="9"/>
        <v>2995.71</v>
      </c>
      <c r="P39" s="15">
        <f t="shared" si="9"/>
        <v>4300</v>
      </c>
    </row>
    <row r="40" spans="1:25" x14ac:dyDescent="0.45">
      <c r="A40" t="s">
        <v>50</v>
      </c>
      <c r="B40" s="14">
        <f>+C40+D40+E40+F40+G40+H40+I40+J40+K40+L40+M40+N40</f>
        <v>0</v>
      </c>
      <c r="C40" s="14"/>
      <c r="D40" s="14"/>
      <c r="E40" s="14"/>
      <c r="F40" s="14"/>
      <c r="G40" s="14"/>
      <c r="I40" s="14"/>
      <c r="J40" s="14"/>
      <c r="K40" s="14"/>
      <c r="L40" s="14"/>
      <c r="M40" s="14"/>
      <c r="N40" s="14"/>
      <c r="P40" s="14"/>
    </row>
    <row r="41" spans="1:25" x14ac:dyDescent="0.45">
      <c r="A41" t="s">
        <v>51</v>
      </c>
      <c r="B41" s="14">
        <v>522</v>
      </c>
      <c r="C41" s="14">
        <v>43.5</v>
      </c>
      <c r="D41" s="14">
        <v>43.5</v>
      </c>
      <c r="E41" s="14">
        <v>43.5</v>
      </c>
      <c r="F41" s="14">
        <v>43.5</v>
      </c>
      <c r="G41" s="14">
        <v>43.5</v>
      </c>
      <c r="H41" s="14">
        <v>31.41</v>
      </c>
      <c r="I41" s="14">
        <v>29</v>
      </c>
      <c r="J41" s="14">
        <v>29</v>
      </c>
      <c r="K41" s="14">
        <v>29</v>
      </c>
      <c r="L41" s="14">
        <v>29</v>
      </c>
      <c r="M41" s="14">
        <v>29</v>
      </c>
      <c r="N41" s="14"/>
      <c r="O41" s="14">
        <f t="shared" ref="O41:O45" si="10">SUM(C41:N41)</f>
        <v>393.90999999999997</v>
      </c>
      <c r="P41" s="14">
        <v>350</v>
      </c>
    </row>
    <row r="42" spans="1:25" x14ac:dyDescent="0.45">
      <c r="A42" t="s">
        <v>52</v>
      </c>
      <c r="B42" s="14">
        <v>216</v>
      </c>
      <c r="C42" s="14">
        <v>226</v>
      </c>
      <c r="D42" s="14"/>
      <c r="E42" s="14"/>
      <c r="F42" s="14"/>
      <c r="G42" s="14"/>
      <c r="I42" s="14"/>
      <c r="J42" s="14"/>
      <c r="K42" s="14"/>
      <c r="L42" s="14"/>
      <c r="M42" s="14"/>
      <c r="N42" s="14"/>
      <c r="O42" s="14">
        <f t="shared" si="10"/>
        <v>226</v>
      </c>
      <c r="P42" s="14">
        <v>250</v>
      </c>
      <c r="Y42" t="s">
        <v>86</v>
      </c>
    </row>
    <row r="43" spans="1:25" x14ac:dyDescent="0.45">
      <c r="A43" t="s">
        <v>53</v>
      </c>
      <c r="B43" s="14">
        <v>349</v>
      </c>
      <c r="C43" s="14">
        <v>159</v>
      </c>
      <c r="D43" s="14">
        <v>67.38</v>
      </c>
      <c r="E43" s="14">
        <v>14.59</v>
      </c>
      <c r="F43" s="14">
        <v>11.59</v>
      </c>
      <c r="G43" s="14">
        <v>40.130000000000003</v>
      </c>
      <c r="H43" s="14">
        <f>9.85+1.74</f>
        <v>11.59</v>
      </c>
      <c r="I43" s="14">
        <v>1.74</v>
      </c>
      <c r="J43" s="14">
        <v>3</v>
      </c>
      <c r="K43" s="14">
        <v>4.63</v>
      </c>
      <c r="L43" s="14">
        <v>12.28</v>
      </c>
      <c r="M43" s="14">
        <v>1.28</v>
      </c>
      <c r="N43" s="14"/>
      <c r="O43" s="14">
        <f t="shared" si="10"/>
        <v>327.20999999999992</v>
      </c>
      <c r="P43" s="14">
        <v>400</v>
      </c>
    </row>
    <row r="44" spans="1:25" x14ac:dyDescent="0.45">
      <c r="A44" t="s">
        <v>87</v>
      </c>
      <c r="B44" s="14"/>
      <c r="C44" s="14"/>
      <c r="D44" s="14"/>
      <c r="E44" s="14">
        <v>1525.84</v>
      </c>
      <c r="F44" s="14"/>
      <c r="G44" s="14"/>
      <c r="I44" s="14"/>
      <c r="J44" s="14"/>
      <c r="K44" s="14"/>
      <c r="L44" s="14"/>
      <c r="M44" s="14"/>
      <c r="N44" s="14"/>
      <c r="O44" s="14">
        <f t="shared" si="10"/>
        <v>1525.84</v>
      </c>
      <c r="P44" s="14"/>
    </row>
    <row r="45" spans="1:25" ht="16.5" x14ac:dyDescent="0.75">
      <c r="A45" t="s">
        <v>54</v>
      </c>
      <c r="B45" s="15">
        <v>221</v>
      </c>
      <c r="C45" s="15">
        <v>11</v>
      </c>
      <c r="D45" s="15">
        <v>0</v>
      </c>
      <c r="E45" s="15">
        <v>25</v>
      </c>
      <c r="F45" s="15">
        <v>220</v>
      </c>
      <c r="G45" s="15">
        <v>19</v>
      </c>
      <c r="H45" s="15">
        <v>80.900000000000006</v>
      </c>
      <c r="I45" s="15">
        <v>0</v>
      </c>
      <c r="J45" s="15">
        <v>0</v>
      </c>
      <c r="K45" s="15">
        <v>24</v>
      </c>
      <c r="L45" s="15">
        <v>0</v>
      </c>
      <c r="M45" s="15">
        <v>24</v>
      </c>
      <c r="N45" s="15"/>
      <c r="O45" s="15">
        <f t="shared" si="10"/>
        <v>403.9</v>
      </c>
      <c r="P45" s="15">
        <v>300</v>
      </c>
    </row>
    <row r="46" spans="1:25" ht="16.5" x14ac:dyDescent="0.75">
      <c r="A46" t="s">
        <v>55</v>
      </c>
      <c r="B46" s="15">
        <f>SUM(B40:B45)</f>
        <v>1308</v>
      </c>
      <c r="C46" s="15">
        <f t="shared" ref="C46:P46" si="11">SUM(C40:C45)</f>
        <v>439.5</v>
      </c>
      <c r="D46" s="15">
        <f t="shared" si="11"/>
        <v>110.88</v>
      </c>
      <c r="E46" s="15">
        <f t="shared" si="11"/>
        <v>1608.9299999999998</v>
      </c>
      <c r="F46" s="15">
        <f t="shared" si="11"/>
        <v>275.09000000000003</v>
      </c>
      <c r="G46" s="15">
        <f t="shared" si="11"/>
        <v>102.63</v>
      </c>
      <c r="H46" s="15">
        <f t="shared" si="11"/>
        <v>123.9</v>
      </c>
      <c r="I46" s="15">
        <f t="shared" si="11"/>
        <v>30.74</v>
      </c>
      <c r="J46" s="15">
        <f t="shared" si="11"/>
        <v>32</v>
      </c>
      <c r="K46" s="15">
        <f t="shared" si="11"/>
        <v>57.63</v>
      </c>
      <c r="L46" s="15">
        <f t="shared" si="11"/>
        <v>41.28</v>
      </c>
      <c r="M46" s="15">
        <f t="shared" si="11"/>
        <v>54.28</v>
      </c>
      <c r="N46" s="15">
        <f t="shared" si="11"/>
        <v>0</v>
      </c>
      <c r="O46" s="15">
        <f t="shared" ref="O46" si="12">SUM(O40:O45)</f>
        <v>2876.86</v>
      </c>
      <c r="P46" s="15">
        <f t="shared" si="11"/>
        <v>1300</v>
      </c>
    </row>
    <row r="47" spans="1:25" ht="16.5" x14ac:dyDescent="0.75">
      <c r="A47" t="s">
        <v>56</v>
      </c>
      <c r="B47" s="15">
        <f>+B30+B39+B46</f>
        <v>11648</v>
      </c>
      <c r="C47" s="15">
        <f t="shared" ref="C47:P47" si="13">+C30+C39+C46</f>
        <v>940.53</v>
      </c>
      <c r="D47" s="15">
        <f t="shared" si="13"/>
        <v>862.05</v>
      </c>
      <c r="E47" s="15">
        <f t="shared" si="13"/>
        <v>3401.08</v>
      </c>
      <c r="F47" s="15">
        <f t="shared" si="13"/>
        <v>2070.0300000000002</v>
      </c>
      <c r="G47" s="15">
        <f t="shared" si="13"/>
        <v>1576.5900000000001</v>
      </c>
      <c r="H47" s="15">
        <f t="shared" si="13"/>
        <v>635.68999999999994</v>
      </c>
      <c r="I47" s="15">
        <f t="shared" si="13"/>
        <v>542.57000000000005</v>
      </c>
      <c r="J47" s="15">
        <f t="shared" si="13"/>
        <v>565.88</v>
      </c>
      <c r="K47" s="15">
        <f t="shared" si="13"/>
        <v>569.36</v>
      </c>
      <c r="L47" s="15">
        <f t="shared" si="13"/>
        <v>813.33999999999992</v>
      </c>
      <c r="M47" s="15">
        <f t="shared" si="13"/>
        <v>566.16</v>
      </c>
      <c r="N47" s="15">
        <f t="shared" si="13"/>
        <v>0</v>
      </c>
      <c r="O47" s="15">
        <f t="shared" ref="O47" si="14">+O30+O39+O46</f>
        <v>12543.279999999999</v>
      </c>
      <c r="P47" s="15">
        <f t="shared" si="13"/>
        <v>13225</v>
      </c>
    </row>
    <row r="48" spans="1:25" ht="16.5" x14ac:dyDescent="0.75">
      <c r="A48" t="s">
        <v>35</v>
      </c>
      <c r="B48" s="15">
        <f>+B17-B47</f>
        <v>1659</v>
      </c>
      <c r="C48" s="15">
        <f t="shared" ref="C48:P48" si="15">+C17-C47</f>
        <v>4155.47</v>
      </c>
      <c r="D48" s="15">
        <f t="shared" si="15"/>
        <v>1107.95</v>
      </c>
      <c r="E48" s="15">
        <f t="shared" si="15"/>
        <v>-3026.08</v>
      </c>
      <c r="F48" s="15">
        <f t="shared" si="15"/>
        <v>-1680.0300000000002</v>
      </c>
      <c r="G48" s="15">
        <f t="shared" si="15"/>
        <v>-382.59000000000015</v>
      </c>
      <c r="H48" s="15">
        <f t="shared" si="15"/>
        <v>-245.68999999999994</v>
      </c>
      <c r="I48" s="15">
        <f t="shared" si="15"/>
        <v>-492.57000000000005</v>
      </c>
      <c r="J48" s="15">
        <f t="shared" si="15"/>
        <v>-475.88</v>
      </c>
      <c r="K48" s="15">
        <f t="shared" si="15"/>
        <v>-429.36</v>
      </c>
      <c r="L48" s="15">
        <f t="shared" si="15"/>
        <v>-513.33999999999992</v>
      </c>
      <c r="M48" s="15">
        <f t="shared" si="15"/>
        <v>-542.16</v>
      </c>
      <c r="N48" s="15">
        <f t="shared" si="15"/>
        <v>0</v>
      </c>
      <c r="O48" s="15">
        <f t="shared" ref="O48" si="16">+O17-O47</f>
        <v>-2524.2799999999988</v>
      </c>
      <c r="P48" s="15">
        <f t="shared" si="15"/>
        <v>-3115</v>
      </c>
    </row>
    <row r="49" spans="1:18" ht="16.5" x14ac:dyDescent="0.75">
      <c r="A49" t="s">
        <v>79</v>
      </c>
      <c r="B49" s="15">
        <v>25745</v>
      </c>
      <c r="C49" s="15">
        <f>+B51</f>
        <v>2406.2200000000012</v>
      </c>
      <c r="D49" s="15">
        <f t="shared" ref="D49:N49" si="17">+C51</f>
        <v>6561.6900000000014</v>
      </c>
      <c r="E49" s="15">
        <f t="shared" si="17"/>
        <v>7669.6400000000012</v>
      </c>
      <c r="F49" s="15">
        <f t="shared" si="17"/>
        <v>4643.5600000000013</v>
      </c>
      <c r="G49" s="15">
        <f t="shared" si="17"/>
        <v>2963.5300000000011</v>
      </c>
      <c r="H49" s="15">
        <f t="shared" si="17"/>
        <v>2580.940000000001</v>
      </c>
      <c r="I49" s="15">
        <f t="shared" si="17"/>
        <v>2335.2500000000009</v>
      </c>
      <c r="J49" s="15">
        <f t="shared" si="17"/>
        <v>1842.6800000000007</v>
      </c>
      <c r="K49" s="15">
        <f t="shared" si="17"/>
        <v>1366.8000000000006</v>
      </c>
      <c r="L49" s="15">
        <f t="shared" si="17"/>
        <v>937.44000000000062</v>
      </c>
      <c r="M49" s="15">
        <f t="shared" si="17"/>
        <v>16887.47</v>
      </c>
      <c r="N49" s="15">
        <f t="shared" si="17"/>
        <v>16345.310000000001</v>
      </c>
      <c r="O49" s="15">
        <f>+B51</f>
        <v>2406.2200000000012</v>
      </c>
      <c r="P49" s="15">
        <v>2597</v>
      </c>
    </row>
    <row r="50" spans="1:18" ht="16.5" x14ac:dyDescent="0.75">
      <c r="A50" t="s">
        <v>75</v>
      </c>
      <c r="B50" s="15">
        <v>25601.78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f>26463.37-10000-72.37</f>
        <v>16391</v>
      </c>
      <c r="M50" s="15">
        <v>0</v>
      </c>
      <c r="N50" s="15">
        <v>0</v>
      </c>
      <c r="O50" s="15">
        <v>0</v>
      </c>
      <c r="P50" s="15">
        <v>0</v>
      </c>
    </row>
    <row r="51" spans="1:18" ht="16.5" x14ac:dyDescent="0.75">
      <c r="A51" t="s">
        <v>57</v>
      </c>
      <c r="B51" s="15">
        <f>+B49+B48-B50+604</f>
        <v>2406.2200000000012</v>
      </c>
      <c r="C51" s="15">
        <f>+C48+C49</f>
        <v>6561.6900000000014</v>
      </c>
      <c r="D51" s="15">
        <f>+D48+D49+D50</f>
        <v>7669.6400000000012</v>
      </c>
      <c r="E51" s="15">
        <f t="shared" ref="E51:N51" si="18">+E48+E49</f>
        <v>4643.5600000000013</v>
      </c>
      <c r="F51" s="15">
        <f t="shared" si="18"/>
        <v>2963.5300000000011</v>
      </c>
      <c r="G51" s="15">
        <f t="shared" si="18"/>
        <v>2580.940000000001</v>
      </c>
      <c r="H51" s="15">
        <f t="shared" si="18"/>
        <v>2335.2500000000009</v>
      </c>
      <c r="I51" s="15">
        <f t="shared" si="18"/>
        <v>1842.6800000000007</v>
      </c>
      <c r="J51" s="15">
        <f>+J48+J49+J50</f>
        <v>1366.8000000000006</v>
      </c>
      <c r="K51" s="15">
        <f t="shared" si="18"/>
        <v>937.44000000000062</v>
      </c>
      <c r="L51" s="15">
        <f>+L48+L49+L50+L53</f>
        <v>16887.47</v>
      </c>
      <c r="M51" s="15">
        <f t="shared" si="18"/>
        <v>16345.310000000001</v>
      </c>
      <c r="N51" s="15">
        <f t="shared" si="18"/>
        <v>16345.310000000001</v>
      </c>
      <c r="O51" s="15">
        <f>+O49+O48+O50</f>
        <v>-118.05999999999767</v>
      </c>
      <c r="P51" s="15">
        <v>-518</v>
      </c>
    </row>
    <row r="52" spans="1:18" x14ac:dyDescent="0.45">
      <c r="A52" t="s">
        <v>80</v>
      </c>
      <c r="B52" s="32">
        <v>0</v>
      </c>
      <c r="C52" s="14">
        <f t="shared" ref="C52:H52" si="19">+B54</f>
        <v>25772.809999999998</v>
      </c>
      <c r="D52" s="32">
        <f t="shared" si="19"/>
        <v>25855.969999999998</v>
      </c>
      <c r="E52" s="14">
        <f t="shared" si="19"/>
        <v>25942.199999999997</v>
      </c>
      <c r="F52" s="14">
        <f t="shared" si="19"/>
        <v>26025.909999999996</v>
      </c>
      <c r="G52" s="14">
        <f t="shared" si="19"/>
        <v>26027.319999999996</v>
      </c>
      <c r="H52" s="14">
        <f t="shared" si="19"/>
        <v>26099.319999999996</v>
      </c>
      <c r="I52" s="14">
        <f t="shared" ref="I52:N52" si="20">+H54</f>
        <v>26169.039999999997</v>
      </c>
      <c r="J52" s="14">
        <f t="shared" si="20"/>
        <v>26243.599999999999</v>
      </c>
      <c r="K52" s="14">
        <f t="shared" si="20"/>
        <v>26315.949999999997</v>
      </c>
      <c r="L52" s="14">
        <v>10000</v>
      </c>
      <c r="M52" s="14">
        <f t="shared" si="20"/>
        <v>10000</v>
      </c>
      <c r="N52" s="14">
        <f t="shared" si="20"/>
        <v>10028.49</v>
      </c>
      <c r="O52" s="32">
        <f>+B54</f>
        <v>25772.809999999998</v>
      </c>
      <c r="P52" s="14">
        <v>25687</v>
      </c>
    </row>
    <row r="53" spans="1:18" ht="16.5" x14ac:dyDescent="0.75">
      <c r="A53" t="s">
        <v>81</v>
      </c>
      <c r="B53" s="15">
        <f>85.37+85.66</f>
        <v>171.03</v>
      </c>
      <c r="C53" s="15">
        <v>83.16</v>
      </c>
      <c r="D53" s="31">
        <v>86.23</v>
      </c>
      <c r="E53" s="15">
        <v>83.71</v>
      </c>
      <c r="F53" s="33">
        <v>1.41</v>
      </c>
      <c r="G53" s="33">
        <v>72</v>
      </c>
      <c r="H53" s="31">
        <v>69.72</v>
      </c>
      <c r="I53" s="33">
        <v>74.56</v>
      </c>
      <c r="J53" s="33">
        <v>72.349999999999994</v>
      </c>
      <c r="K53" s="33">
        <v>74.98</v>
      </c>
      <c r="L53" s="33">
        <v>72.37</v>
      </c>
      <c r="M53" s="33">
        <v>28.49</v>
      </c>
      <c r="N53" s="33">
        <v>0</v>
      </c>
      <c r="O53" s="31">
        <f>SUM(C53:L53)</f>
        <v>690.49</v>
      </c>
      <c r="P53" s="15">
        <v>1000</v>
      </c>
    </row>
    <row r="54" spans="1:18" ht="16.5" x14ac:dyDescent="0.75">
      <c r="A54" t="s">
        <v>82</v>
      </c>
      <c r="B54" s="30">
        <f>25601.78+B53</f>
        <v>25772.809999999998</v>
      </c>
      <c r="C54" s="30">
        <f t="shared" ref="C54:H54" si="21">SUM(C52:C53)</f>
        <v>25855.969999999998</v>
      </c>
      <c r="D54" s="30">
        <f t="shared" si="21"/>
        <v>25942.199999999997</v>
      </c>
      <c r="E54" s="30">
        <f t="shared" si="21"/>
        <v>26025.909999999996</v>
      </c>
      <c r="F54" s="30">
        <f t="shared" si="21"/>
        <v>26027.319999999996</v>
      </c>
      <c r="G54" s="30">
        <f t="shared" si="21"/>
        <v>26099.319999999996</v>
      </c>
      <c r="H54" s="15">
        <f t="shared" si="21"/>
        <v>26169.039999999997</v>
      </c>
      <c r="I54" s="15">
        <f t="shared" ref="I54:N54" si="22">SUM(I52:I53)</f>
        <v>26243.599999999999</v>
      </c>
      <c r="J54" s="15">
        <f t="shared" si="22"/>
        <v>26315.949999999997</v>
      </c>
      <c r="K54" s="15">
        <f t="shared" si="22"/>
        <v>26390.929999999997</v>
      </c>
      <c r="L54" s="15">
        <f>SUM(L52:L53)-L53</f>
        <v>10000</v>
      </c>
      <c r="M54" s="15">
        <f>SUM(M52:M53)</f>
        <v>10028.49</v>
      </c>
      <c r="N54" s="15">
        <f t="shared" si="22"/>
        <v>10028.49</v>
      </c>
      <c r="O54" s="15">
        <f>SUM(O52:O53)</f>
        <v>26463.3</v>
      </c>
      <c r="P54" s="15">
        <v>26687</v>
      </c>
    </row>
    <row r="55" spans="1:18" x14ac:dyDescent="0.45">
      <c r="A55" t="s">
        <v>74</v>
      </c>
    </row>
    <row r="56" spans="1:18" ht="16.5" x14ac:dyDescent="0.75">
      <c r="A56" t="s">
        <v>83</v>
      </c>
      <c r="B56" s="15">
        <f t="shared" ref="B56:N56" si="23">+B51+B54</f>
        <v>28179.03</v>
      </c>
      <c r="C56" s="15">
        <f t="shared" si="23"/>
        <v>32417.66</v>
      </c>
      <c r="D56" s="15">
        <f t="shared" si="23"/>
        <v>33611.839999999997</v>
      </c>
      <c r="E56" s="15">
        <f t="shared" si="23"/>
        <v>30669.469999999998</v>
      </c>
      <c r="F56" s="15">
        <f t="shared" si="23"/>
        <v>28990.85</v>
      </c>
      <c r="G56" s="15">
        <f t="shared" si="23"/>
        <v>28680.26</v>
      </c>
      <c r="H56" s="15">
        <f t="shared" si="23"/>
        <v>28504.289999999997</v>
      </c>
      <c r="I56" s="15">
        <f t="shared" si="23"/>
        <v>28086.28</v>
      </c>
      <c r="J56" s="15">
        <f t="shared" si="23"/>
        <v>27682.749999999996</v>
      </c>
      <c r="K56" s="15">
        <f t="shared" si="23"/>
        <v>27328.37</v>
      </c>
      <c r="L56" s="15">
        <f t="shared" si="23"/>
        <v>26887.47</v>
      </c>
      <c r="M56" s="15">
        <f t="shared" si="23"/>
        <v>26373.800000000003</v>
      </c>
      <c r="N56" s="15">
        <f t="shared" si="23"/>
        <v>26373.800000000003</v>
      </c>
      <c r="O56" s="15">
        <f>+O51+O54</f>
        <v>26345.24</v>
      </c>
      <c r="P56" s="15">
        <f>+P51+P54</f>
        <v>26169</v>
      </c>
    </row>
    <row r="57" spans="1:18" x14ac:dyDescent="0.45">
      <c r="D57" s="14"/>
    </row>
    <row r="58" spans="1:18" x14ac:dyDescent="0.45">
      <c r="D58" s="14"/>
    </row>
    <row r="59" spans="1:18" x14ac:dyDescent="0.45">
      <c r="D59" s="14"/>
    </row>
    <row r="60" spans="1:18" x14ac:dyDescent="0.45">
      <c r="R60">
        <v>60</v>
      </c>
    </row>
  </sheetData>
  <printOptions gridLines="1"/>
  <pageMargins left="0" right="0" top="0.25" bottom="0.25" header="0" footer="0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Mosher</cp:lastModifiedBy>
  <cp:lastPrinted>2026-08-02T22:59:49Z</cp:lastPrinted>
  <dcterms:created xsi:type="dcterms:W3CDTF">2022-12-12T02:05:22Z</dcterms:created>
  <dcterms:modified xsi:type="dcterms:W3CDTF">2026-09-05T22:38:10Z</dcterms:modified>
</cp:coreProperties>
</file>